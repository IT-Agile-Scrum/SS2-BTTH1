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896ddcf98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Book" sheetId="1" r:id="R5906c0397b13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f121777554d92" /><Relationship Type="http://schemas.openxmlformats.org/officeDocument/2006/relationships/theme" Target="/xl/theme/theme1.xml" Id="R6e06b887de5d4587" /><Relationship Type="http://schemas.openxmlformats.org/officeDocument/2006/relationships/sharedStrings" Target="/xl/sharedStrings.xml" Id="Rf8597b4557654454" /><Relationship Type="http://schemas.openxmlformats.org/officeDocument/2006/relationships/worksheet" Target="/xl/worksheets/sheet1.xml" Id="R5906c0397b1348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38" hidden="0" customWidth="1"/>
    <x:col min="4" max="4" width="26" hidden="0" customWidth="1"/>
  </x:cols>
  <x:sheetData>
    <x:row r="1">
      <x:c r="A1" s="3" t="str">
        <x:v>Giai đoạn Waterfall</x:v>
      </x:c>
      <x:c r="B1" s="3" t="str">
        <x:v>Thời gian</x:v>
      </x:c>
      <x:c r="C1" s="3" t="str">
        <x:v>Sản phẩm bàn giao</x:v>
      </x:c>
      <x:c r="D1" s="3" t="str">
        <x:v>Khách thấy phần mềm chạy?</x:v>
      </x:c>
    </x:row>
    <x:row r="2">
      <x:c r="A2" s="4" t="str">
        <x:v>Thu thập yêu cầu</x:v>
      </x:c>
      <x:c r="B2" s="4" t="str">
        <x:v>05/01–20/02</x:v>
      </x:c>
      <x:c r="C2" s="4" t="str">
        <x:v>SRS 120 trang đã ký</x:v>
      </x:c>
      <x:c r="D2" s="4" t="str">
        <x:v>Không</x:v>
      </x:c>
    </x:row>
    <x:row r="3">
      <x:c r="A3" s="4" t="str">
        <x:v>Thiết kế</x:v>
      </x:c>
      <x:c r="B3" s="4" t="str">
        <x:v>21/02–25/03</x:v>
      </x:c>
      <x:c r="C3" s="4" t="str">
        <x:v>Thiết kế UI/UX và kiến trúc</x:v>
      </x:c>
      <x:c r="D3" s="4" t="str">
        <x:v>Không</x:v>
      </x:c>
    </x:row>
    <x:row r="4">
      <x:c r="A4" s="4" t="str">
        <x:v>Lập trình</x:v>
      </x:c>
      <x:c r="B4" s="4" t="str">
        <x:v>26/03–31/05</x:v>
      </x:c>
      <x:c r="C4" s="4" t="str">
        <x:v>Các tính năng đã chốt</x:v>
      </x:c>
      <x:c r="D4" s="4" t="str">
        <x:v>Không</x:v>
      </x:c>
    </x:row>
    <x:row r="5">
      <x:c r="A5" s="4" t="str">
        <x:v>Kiểm thử</x:v>
      </x:c>
      <x:c r="B5" s="4" t="str">
        <x:v>01/06–25/06</x:v>
      </x:c>
      <x:c r="C5" s="4" t="str">
        <x:v>Bản chạy được để kiểm thử</x:v>
      </x:c>
      <x:c r="D5" s="4" t="str">
        <x:v>Có</x:v>
      </x:c>
    </x:row>
    <x:row r="6">
      <x:c r="A6" s="4" t="str">
        <x:v>Triển khai</x:v>
      </x:c>
      <x:c r="B6" s="4" t="str">
        <x:v>26/06–05/07</x:v>
      </x:c>
      <x:c r="C6" s="4" t="str">
        <x:v>Hệ thống go-live</x:v>
      </x:c>
      <x:c r="D6" s="4" t="str">
        <x:v>Không</x:v>
      </x:c>
    </x:row>
    <x:row r="7">
      <x:c r="A7" s="4" t="str"/>
      <x:c r="B7" s="4" t="str"/>
      <x:c r="C7" s="4" t="str"/>
      <x:c r="D7" s="4" t="str"/>
    </x:row>
    <x:row r="8">
      <x:c r="A8" s="4"/>
      <x:c r="B8" s="4"/>
      <x:c r="C8" s="4"/>
      <x:c r="D8" s="4"/>
    </x:row>
    <x:row r="9">
      <x:c r="A9" s="3" t="str">
        <x:v>Thông số / kết quả</x:v>
      </x:c>
      <x:c r="B9" s="3" t="str">
        <x:v>Giá trị</x:v>
      </x:c>
      <x:c r="C9" s="4"/>
      <x:c r="D9" s="4"/>
    </x:row>
    <x:row r="10">
      <x:c r="A10" s="4" t="str">
        <x:v>Nhân sự</x:v>
      </x:c>
      <x:c r="B10" s="4" t="n">
        <x:v>8</x:v>
      </x:c>
      <x:c r="C10" s="4"/>
      <x:c r="D10" s="4"/>
    </x:row>
    <x:row r="11">
      <x:c r="A11" s="4" t="str">
        <x:v>Chi phí người/tháng</x:v>
      </x:c>
      <x:c r="B11" s="5" t="n">
        <x:v>25000000</x:v>
      </x:c>
      <x:c r="C11" s="4"/>
      <x:c r="D11" s="4"/>
    </x:row>
    <x:row r="12">
      <x:c r="A12" s="4" t="str">
        <x:v>Số tháng phát sinh</x:v>
      </x:c>
      <x:c r="B12" s="5" t="n">
        <x:v>3</x:v>
      </x:c>
      <x:c r="C12" s="4"/>
      <x:c r="D12" s="4"/>
    </x:row>
    <x:row r="13">
      <x:c r="A13" s="4" t="str">
        <x:v>Ngân sách ban đầu</x:v>
      </x:c>
      <x:c r="B13" s="5" t="n">
        <x:v>1800000000</x:v>
      </x:c>
      <x:c r="C13" s="4"/>
      <x:c r="D13" s="4"/>
    </x:row>
    <x:row r="14">
      <x:c r="A14" s="4" t="str">
        <x:v>Chi phí phát sinh</x:v>
      </x:c>
      <x:c r="B14" s="5" t="n">
        <x:f>B10*B11*B12</x:f>
        <x:v>600000000</x:v>
      </x:c>
      <x:c r="C14" s="4"/>
      <x:c r="D14" s="4"/>
    </x:row>
    <x:row r="15">
      <x:c r="A15" s="4" t="str">
        <x:v>Tổng ngân sách mới</x:v>
      </x:c>
      <x:c r="B15" s="5" t="n">
        <x:f>SUM(B13:B14)</x:f>
        <x:v>2400000000</x:v>
      </x:c>
      <x:c r="C15" s="4"/>
      <x:c r="D15" s="4"/>
    </x:row>
    <x:row r="16">
      <x:c r="A16" s="4" t="str">
        <x:v>Tỷ lệ vượt ngân sách</x:v>
      </x:c>
      <x:c r="B16" s="6" t="n">
        <x:f>B14/B13</x:f>
        <x:v>0.3333333333333333</x:v>
      </x:c>
      <x:c r="C16" s="4"/>
      <x:c r="D16" s="4"/>
    </x:row>
    <x:row r="17">
      <x:c r="A17" s="4" t="str">
        <x:v>Ngày bắt đầu (năm giả định 2025)</x:v>
      </x:c>
      <x:c r="B17" s="4" t="str">
        <x:v>05/01/2025</x:v>
      </x:c>
      <x:c r="C17" s="4"/>
      <x:c r="D17" s="4"/>
    </x:row>
    <x:row r="18">
      <x:c r="A18" s="4" t="str">
        <x:v>Ngày đầu khách xem</x:v>
      </x:c>
      <x:c r="B18" s="4" t="str">
        <x:v>01/06/2025</x:v>
      </x:c>
      <x:c r="C18" s="4"/>
      <x:c r="D18" s="4"/>
    </x:row>
    <x:row r="19">
      <x:c r="A19" s="4" t="str">
        <x:v>khoang_mu_thong_tin</x:v>
      </x:c>
      <x:c r="B19" s="4" t="n">
        <x:f>DATE(2025,6,1)-DATE(2025,1,5)</x:f>
        <x:v>147</x:v>
      </x:c>
      <x:c r="C19" s="4"/>
      <x:c r="D19" s="4"/>
    </x:row>
    <x:row r="20">
      <x:c r="A20" s="4"/>
      <x:c r="B20" s="4"/>
      <x:c r="C20" s="4"/>
      <x:c r="D20" s="4"/>
    </x:row>
    <x:row r="21">
      <x:c r="A21" s="4" t="str">
        <x:v>Phân tích hạn chế</x:v>
      </x:c>
      <x:c r="B21" s="4"/>
      <x:c r="C21" s="4"/>
      <x:c r="D21" s="4"/>
    </x:row>
    <x:row r="22" ht="44" customHeight="1">
      <x:c r="A22" s="4" t="str">
        <x:v>Cứng nhắc: yêu cầu đã chốt ngày 20/02, quy định mới ngày 01/06 khiến cả luồng lưu trữ phải làm lại.</x:v>
      </x:c>
      <x:c r="B22" s="4"/>
      <x:c r="C22" s="4"/>
      <x:c r="D22" s="4"/>
    </x:row>
    <x:row r="23" ht="44" customHeight="1">
      <x:c r="A23" s="4" t="str">
        <x:v>Phản hồi muộn: khách chỉ xem bản chạy đầu tiên ngày 01/06, sau khoảng 147 ngày kể từ 05/01.</x:v>
      </x:c>
      <x:c r="B23" s="4"/>
      <x:c r="C23" s="4"/>
      <x:c r="D23" s="4"/>
    </x:row>
    <x:row r="24" ht="44" customHeight="1">
      <x:c r="A24" s="4" t="str">
        <x:v>Rủi ro cao: thay đổi ngày 01/06 làm cả đội kéo dài ba tháng và tăng chi phí 600 triệu đồng.</x:v>
      </x:c>
      <x:c r="B24" s="4"/>
      <x:c r="C24" s="4"/>
      <x:c r="D24" s="4"/>
    </x:row>
  </x:sheetData>
  <x:pageMargins left="0.7" right="0.7" top="0.75" bottom="0.75" header="0.3" footer="0.3"/>
</x:worksheet>
</file>